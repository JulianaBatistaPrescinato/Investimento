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571B4A5-67E9-44E2-83AC-3084FA1757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est" sheetId="1" r:id="rId1"/>
    <sheet name="base" sheetId="2" r:id="rId2"/>
  </sheets>
  <definedNames>
    <definedName name="aporte">Invest!$D$17:$D$17</definedName>
    <definedName name="patrimonio">Invest!$D$20:$D$20</definedName>
    <definedName name="qtd_anos">Invest!$D$18:$D$18</definedName>
    <definedName name="rendimento_carteira">Invest!$D$13:$D$13</definedName>
    <definedName name="salario">Invest!$D$12:$D$12</definedName>
    <definedName name="sugestao_investimento">Invest!$D$14:$D$14</definedName>
    <definedName name="taxa_mensal">Invest!$D$19:$D$19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41" i="1"/>
  <c r="A19" i="2"/>
  <c r="A20" i="2"/>
  <c r="A16" i="2"/>
  <c r="A17" i="2"/>
  <c r="A18" i="2"/>
  <c r="A15" i="2"/>
  <c r="A10" i="2"/>
  <c r="A11" i="2"/>
  <c r="A12" i="2"/>
  <c r="A13" i="2"/>
  <c r="A14" i="2"/>
  <c r="A9" i="2"/>
  <c r="A3" i="2"/>
  <c r="H5" i="2" s="1"/>
  <c r="C33" i="1" a="1"/>
  <c r="C33" i="1"/>
  <c r="D20" i="1" a="1"/>
  <c r="D20" i="1"/>
  <c r="D21" i="1" a="1"/>
  <c r="D21" i="1"/>
  <c r="D14" i="1"/>
  <c r="C25" i="1"/>
  <c r="D25" i="1" s="1" a="1"/>
  <c r="D25" i="1" s="1"/>
  <c r="C26" i="1"/>
  <c r="D26" i="1" s="1" a="1"/>
  <c r="D26" i="1" s="1"/>
  <c r="C27" i="1"/>
  <c r="D27" i="1" s="1" a="1"/>
  <c r="D27" i="1" s="1"/>
  <c r="C28" i="1"/>
  <c r="D28" i="1" s="1" a="1"/>
  <c r="D28" i="1" s="1"/>
  <c r="C24" i="1"/>
  <c r="D24" i="1" s="1" a="1"/>
  <c r="D24" i="1" s="1"/>
  <c r="D37" i="1" l="1"/>
  <c r="D38" i="1"/>
  <c r="D39" i="1"/>
  <c r="D40" i="1"/>
  <c r="D41" i="1"/>
  <c r="D36" i="1"/>
  <c r="D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<sst xmlns="http://schemas.openxmlformats.org/spreadsheetml/2006/main" count="76" uniqueCount="40">
  <si>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</si>
  <si>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</si>
  <si>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</si>
  <si>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</si>
  <si>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</si>
  <si>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</si>
  <si>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</si>
  <si>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</si>
  <si>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</si>
  <si>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</si>
  <si>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</si>
  <si>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</si>
  <si>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</si>
  <si>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</si>
  <si>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</si>
  <si>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</si>
  <si>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</si>
  <si>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</si>
  <si>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</si>
  <si>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</si>
  <si>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</si>
  <si>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</si>
  <si>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</si>
  <si>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</si>
  <si>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</si>
  <si>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</si>
  <si>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</si>
  <si>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</si>
  <si>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</si>
  <si>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</si>
  <si>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</si>
  <si>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Conservador-TIJOLO</t>
  </si>
  <si>
    <t>Conservador-HÍBRIDOS</t>
  </si>
  <si>
    <t>Moderado-TIJOLO</t>
  </si>
  <si>
    <t>Conservador-FOFs</t>
  </si>
  <si>
    <t>FOFs</t>
  </si>
  <si>
    <t>Conservador-DESENVOLVIMENTO</t>
  </si>
  <si>
    <t>Conservador-HOTELARIAS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</si>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</sst>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0">
    <font>
      <sz val="11"/>
      <color theme="1"/>
      <name val="Calibri"/>
      <family val="2"/>
      <scheme val="minor"/>
    </font>
    <font>
      <sz val="10"/>
      <color theme="1"/>
      <name val="Calibri"/>
      <charset val="1"/>
    </font>
    <font>
      <b/>
      <sz val="18"/>
      <color rgb="FFFFFFFF"/>
      <name val="Segoe UI Semibold"/>
      <charset val="1"/>
    </font>
    <font>
      <sz val="12"/>
      <color rgb="FF000000"/>
      <name val="Segoe UI"/>
      <charset val="1"/>
    </font>
    <font>
      <b/>
      <sz val="12"/>
      <color rgb="FF000000"/>
      <name val="Segoe UI"/>
      <charset val="1"/>
    </font>
    <font>
      <b/>
      <sz val="12"/>
      <color rgb="FFFFFFFF"/>
      <name val="Segoe UI Semibold"/>
      <charset val="1"/>
    </font>
    <font>
      <sz val="10"/>
      <color rgb="FFFFFFFF"/>
      <name val="Calibri"/>
      <charset val="1"/>
    </font>
    <font>
      <sz val="10"/>
      <color rgb="FF9C5700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301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2A01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0000"/>
        <bgColor indexed="64"/>
      </patternFill>
    </fill>
  </fills>
  <borders count="2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ck">
        <color theme="2" tint="-9.9978637043366805E-2"/>
      </top>
      <bottom style="thick">
        <color theme="2" tint="-9.9978637043366805E-2"/>
      </bottom>
      <diagonal/>
    </border>
    <border>
      <left style="medium">
        <color theme="1"/>
      </left>
      <right/>
      <top style="thick">
        <color theme="2" tint="-9.9978637043366805E-2"/>
      </top>
      <bottom style="thick">
        <color theme="2" tint="-9.9978637043366805E-2"/>
      </bottom>
      <diagonal/>
    </border>
    <border>
      <left/>
      <right style="medium">
        <color theme="1"/>
      </right>
      <top style="thick">
        <color theme="2" tint="-9.9978637043366805E-2"/>
      </top>
      <bottom style="thick">
        <color theme="2" tint="-9.9978637043366805E-2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6" fillId="0" borderId="0" xfId="0" applyFont="1"/>
    <xf numFmtId="0" fontId="7" fillId="6" borderId="0" xfId="0" applyFont="1" applyFill="1"/>
    <xf numFmtId="0" fontId="1" fillId="6" borderId="0" xfId="0" applyFont="1" applyFill="1"/>
    <xf numFmtId="0" fontId="8" fillId="4" borderId="0" xfId="0" applyFont="1" applyFill="1"/>
    <xf numFmtId="8" fontId="8" fillId="4" borderId="0" xfId="0" applyNumberFormat="1" applyFont="1" applyFill="1"/>
    <xf numFmtId="0" fontId="1" fillId="4" borderId="0" xfId="0" applyFont="1" applyFill="1"/>
    <xf numFmtId="0" fontId="9" fillId="7" borderId="0" xfId="0" applyFont="1" applyFill="1"/>
    <xf numFmtId="0" fontId="8" fillId="0" borderId="0" xfId="0" applyFont="1"/>
    <xf numFmtId="0" fontId="1" fillId="7" borderId="0" xfId="0" applyFont="1" applyFill="1"/>
    <xf numFmtId="8" fontId="9" fillId="7" borderId="0" xfId="0" applyNumberFormat="1" applyFont="1" applyFill="1"/>
    <xf numFmtId="8" fontId="1" fillId="0" borderId="0" xfId="0" applyNumberFormat="1" applyFont="1"/>
    <xf numFmtId="8" fontId="3" fillId="8" borderId="0" xfId="0" applyNumberFormat="1" applyFont="1" applyFill="1"/>
    <xf numFmtId="8" fontId="3" fillId="0" borderId="8" xfId="0" applyNumberFormat="1" applyFont="1" applyBorder="1"/>
    <xf numFmtId="8" fontId="3" fillId="8" borderId="11" xfId="0" applyNumberFormat="1" applyFont="1" applyFill="1" applyBorder="1"/>
    <xf numFmtId="8" fontId="4" fillId="0" borderId="8" xfId="0" applyNumberFormat="1" applyFont="1" applyBorder="1"/>
    <xf numFmtId="10" fontId="4" fillId="0" borderId="8" xfId="0" applyNumberFormat="1" applyFont="1" applyBorder="1"/>
    <xf numFmtId="0" fontId="3" fillId="8" borderId="9" xfId="0" applyFont="1" applyFill="1" applyBorder="1" applyAlignment="1">
      <alignment horizontal="left" indent="2"/>
    </xf>
    <xf numFmtId="0" fontId="5" fillId="5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left" indent="2"/>
    </xf>
    <xf numFmtId="8" fontId="3" fillId="8" borderId="8" xfId="0" applyNumberFormat="1" applyFont="1" applyFill="1" applyBorder="1"/>
    <xf numFmtId="8" fontId="3" fillId="8" borderId="10" xfId="0" applyNumberFormat="1" applyFont="1" applyFill="1" applyBorder="1"/>
    <xf numFmtId="8" fontId="4" fillId="8" borderId="8" xfId="0" applyNumberFormat="1" applyFont="1" applyFill="1" applyBorder="1"/>
    <xf numFmtId="8" fontId="4" fillId="8" borderId="11" xfId="0" applyNumberFormat="1" applyFont="1" applyFill="1" applyBorder="1"/>
    <xf numFmtId="0" fontId="4" fillId="0" borderId="17" xfId="0" applyFont="1" applyBorder="1"/>
    <xf numFmtId="10" fontId="3" fillId="0" borderId="17" xfId="0" applyNumberFormat="1" applyFont="1" applyBorder="1"/>
    <xf numFmtId="0" fontId="6" fillId="9" borderId="1" xfId="0" applyFont="1" applyFill="1" applyBorder="1"/>
    <xf numFmtId="0" fontId="6" fillId="9" borderId="2" xfId="0" applyFont="1" applyFill="1" applyBorder="1"/>
    <xf numFmtId="0" fontId="6" fillId="9" borderId="3" xfId="0" applyFont="1" applyFill="1" applyBorder="1"/>
    <xf numFmtId="0" fontId="8" fillId="0" borderId="18" xfId="0" applyFont="1" applyBorder="1"/>
    <xf numFmtId="9" fontId="8" fillId="0" borderId="19" xfId="0" applyNumberFormat="1" applyFont="1" applyBorder="1"/>
    <xf numFmtId="9" fontId="7" fillId="6" borderId="0" xfId="0" applyNumberFormat="1" applyFont="1" applyFill="1"/>
    <xf numFmtId="0" fontId="7" fillId="6" borderId="0" xfId="0" applyFont="1" applyFill="1" applyAlignment="1">
      <alignment horizontal="center"/>
    </xf>
    <xf numFmtId="8" fontId="8" fillId="4" borderId="0" xfId="0" applyNumberFormat="1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9" fontId="8" fillId="0" borderId="6" xfId="0" applyNumberFormat="1" applyFont="1" applyBorder="1"/>
    <xf numFmtId="0" fontId="8" fillId="0" borderId="7" xfId="0" applyFont="1" applyBorder="1"/>
    <xf numFmtId="9" fontId="8" fillId="0" borderId="8" xfId="0" applyNumberFormat="1" applyFont="1" applyBorder="1"/>
    <xf numFmtId="0" fontId="8" fillId="0" borderId="9" xfId="0" applyFont="1" applyBorder="1"/>
    <xf numFmtId="0" fontId="8" fillId="0" borderId="10" xfId="0" applyFont="1" applyBorder="1"/>
    <xf numFmtId="9" fontId="8" fillId="0" borderId="11" xfId="0" applyNumberFormat="1" applyFont="1" applyBorder="1"/>
    <xf numFmtId="0" fontId="3" fillId="4" borderId="16" xfId="0" applyFont="1" applyFill="1" applyBorder="1" applyAlignment="1">
      <alignment horizontal="left" indent="2"/>
    </xf>
    <xf numFmtId="0" fontId="3" fillId="4" borderId="15" xfId="0" applyFont="1" applyFill="1" applyBorder="1" applyAlignment="1">
      <alignment horizontal="left" indent="2"/>
    </xf>
    <xf numFmtId="0" fontId="3" fillId="4" borderId="7" xfId="0" applyFont="1" applyFill="1" applyBorder="1" applyAlignment="1">
      <alignment horizontal="left" indent="2"/>
    </xf>
    <xf numFmtId="0" fontId="3" fillId="4" borderId="0" xfId="0" applyFont="1" applyFill="1" applyAlignment="1">
      <alignment horizontal="left" indent="2"/>
    </xf>
    <xf numFmtId="0" fontId="4" fillId="8" borderId="7" xfId="0" applyFont="1" applyFill="1" applyBorder="1" applyAlignment="1">
      <alignment horizontal="left" indent="2"/>
    </xf>
    <xf numFmtId="0" fontId="4" fillId="8" borderId="0" xfId="0" applyFont="1" applyFill="1" applyAlignment="1">
      <alignment horizontal="left" indent="2"/>
    </xf>
    <xf numFmtId="0" fontId="4" fillId="8" borderId="9" xfId="0" applyFont="1" applyFill="1" applyBorder="1" applyAlignment="1">
      <alignment horizontal="left" indent="2"/>
    </xf>
    <xf numFmtId="0" fontId="4" fillId="8" borderId="10" xfId="0" applyFont="1" applyFill="1" applyBorder="1" applyAlignment="1">
      <alignment horizontal="left" indent="2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 indent="2"/>
    </xf>
    <xf numFmtId="0" fontId="3" fillId="3" borderId="0" xfId="0" applyFont="1" applyFill="1" applyAlignment="1">
      <alignment horizontal="left" indent="2"/>
    </xf>
    <xf numFmtId="0" fontId="3" fillId="3" borderId="16" xfId="0" applyFont="1" applyFill="1" applyBorder="1" applyAlignment="1">
      <alignment horizontal="left" indent="2"/>
    </xf>
    <xf numFmtId="0" fontId="3" fillId="3" borderId="15" xfId="0" applyFont="1" applyFill="1" applyBorder="1" applyAlignment="1">
      <alignment horizontal="left" indent="2"/>
    </xf>
    <xf numFmtId="0" fontId="3" fillId="8" borderId="9" xfId="0" applyFont="1" applyFill="1" applyBorder="1" applyAlignment="1">
      <alignment horizontal="left" indent="2"/>
    </xf>
    <xf numFmtId="0" fontId="3" fillId="8" borderId="10" xfId="0" applyFont="1" applyFill="1" applyBorder="1" applyAlignment="1">
      <alignment horizontal="left" indent="2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D1-4D93-8B53-7D6AE3EDD3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D1-4D93-8B53-7D6AE3EDD3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D1-4D93-8B53-7D6AE3EDD3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D1-4D93-8B53-7D6AE3EDD3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D1-4D93-8B53-7D6AE3EDD3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D1-4D93-8B53-7D6AE3EDD3B2}"/>
              </c:ext>
            </c:extLst>
          </c:dPt>
          <c:cat>
            <c:strRef>
              <c:f>Invest!$B$36:$B$41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A-4A85-8F0E-8E1387D2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9525</xdr:rowOff>
    </xdr:from>
    <xdr:to>
      <xdr:col>4</xdr:col>
      <xdr:colOff>0</xdr:colOff>
      <xdr:row>7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102577-7C6F-5019-440B-144340E33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00025"/>
          <a:ext cx="4991100" cy="1228725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42</xdr:row>
      <xdr:rowOff>161925</xdr:rowOff>
    </xdr:from>
    <xdr:to>
      <xdr:col>3</xdr:col>
      <xdr:colOff>981075</xdr:colOff>
      <xdr:row>57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94600F-85E7-7AD8-123F-43D50B1387C5}"/>
            </a:ext>
            <a:ext uri="{147F2762-F138-4A5C-976F-8EAC2B608ADB}">
              <a16:predDERef xmlns:a16="http://schemas.microsoft.com/office/drawing/2014/main" pred="{0E102577-7C6F-5019-440B-144340E33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showGridLines="0" showRowColHeaders="0" tabSelected="1" topLeftCell="A32" workbookViewId="0">
      <selection activeCell="C32" sqref="C32"/>
    </sheetView>
  </sheetViews>
  <sheetFormatPr defaultColWidth="0" defaultRowHeight="15"/>
  <cols>
    <col min="1" max="1" width="2.28515625" customWidth="1"/>
    <col min="2" max="2" width="39.7109375" customWidth="1"/>
    <col min="3" max="3" width="18.7109375" customWidth="1"/>
    <col min="4" max="4" width="15.28515625" bestFit="1" customWidth="1"/>
    <col min="5" max="8" width="9.140625" customWidth="1"/>
  </cols>
  <sheetData>
    <row r="1" spans="1:5">
      <c r="A1" s="1"/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 ht="9.75" customHeight="1">
      <c r="A9" s="1"/>
      <c r="B9" s="1"/>
      <c r="C9" s="1"/>
      <c r="D9" s="1"/>
      <c r="E9" s="1"/>
    </row>
    <row r="10" spans="1:5" ht="6.75" customHeight="1">
      <c r="A10" s="1"/>
      <c r="B10" s="1"/>
      <c r="C10" s="1"/>
      <c r="D10" s="1"/>
      <c r="E10" s="1"/>
    </row>
    <row r="11" spans="1:5" ht="26.25">
      <c r="A11" s="1"/>
      <c r="B11" s="54" t="s">
        <v>0</v>
      </c>
      <c r="C11" s="55"/>
      <c r="D11" s="56"/>
      <c r="E11" s="1"/>
    </row>
    <row r="12" spans="1:5" ht="17.25">
      <c r="A12" s="1"/>
      <c r="B12" s="57" t="s">
        <v>1</v>
      </c>
      <c r="C12" s="58"/>
      <c r="D12" s="14">
        <v>2000</v>
      </c>
      <c r="E12" s="1"/>
    </row>
    <row r="13" spans="1:5" ht="17.25">
      <c r="A13" s="1"/>
      <c r="B13" s="59" t="s">
        <v>2</v>
      </c>
      <c r="C13" s="60"/>
      <c r="D13" s="26">
        <v>6.0000000000000001E-3</v>
      </c>
      <c r="E13" s="1"/>
    </row>
    <row r="14" spans="1:5" ht="17.25">
      <c r="A14" s="1"/>
      <c r="B14" s="61" t="s">
        <v>3</v>
      </c>
      <c r="C14" s="62"/>
      <c r="D14" s="15">
        <f>D12*30%</f>
        <v>600</v>
      </c>
      <c r="E14" s="1"/>
    </row>
    <row r="15" spans="1:5">
      <c r="A15" s="1"/>
      <c r="B15" s="1"/>
      <c r="C15" s="1"/>
      <c r="D15" s="1"/>
      <c r="E15" s="1"/>
    </row>
    <row r="16" spans="1:5" ht="26.25">
      <c r="A16" s="1"/>
      <c r="B16" s="63" t="s">
        <v>4</v>
      </c>
      <c r="C16" s="64"/>
      <c r="D16" s="65"/>
      <c r="E16" s="1"/>
    </row>
    <row r="17" spans="1:5" ht="17.25">
      <c r="A17" s="1"/>
      <c r="B17" s="46" t="s">
        <v>5</v>
      </c>
      <c r="C17" s="47"/>
      <c r="D17" s="16">
        <v>200</v>
      </c>
      <c r="E17" s="1"/>
    </row>
    <row r="18" spans="1:5" ht="17.25">
      <c r="A18" s="1"/>
      <c r="B18" s="44" t="s">
        <v>6</v>
      </c>
      <c r="C18" s="45"/>
      <c r="D18" s="25">
        <v>5</v>
      </c>
      <c r="E18" s="1"/>
    </row>
    <row r="19" spans="1:5" ht="17.25">
      <c r="A19" s="1"/>
      <c r="B19" s="46" t="s">
        <v>7</v>
      </c>
      <c r="C19" s="47"/>
      <c r="D19" s="17">
        <v>1.0789999999999999E-2</v>
      </c>
      <c r="E19" s="1"/>
    </row>
    <row r="20" spans="1:5" ht="17.25">
      <c r="A20" s="1"/>
      <c r="B20" s="48" t="s">
        <v>8</v>
      </c>
      <c r="C20" s="49"/>
      <c r="D20" s="23" cm="1">
        <f t="array" ref="D20">FV(taxa_mensal,qtd_anos*12,aporte*-1)</f>
        <v>16755.382799697527</v>
      </c>
      <c r="E20" s="1"/>
    </row>
    <row r="21" spans="1:5" ht="17.25">
      <c r="A21" s="1"/>
      <c r="B21" s="50" t="s">
        <v>9</v>
      </c>
      <c r="C21" s="51"/>
      <c r="D21" s="24" cm="1">
        <f t="array" ref="D21">patrimonio*$D$13</f>
        <v>100.53229679818516</v>
      </c>
      <c r="E21" s="1"/>
    </row>
    <row r="22" spans="1:5">
      <c r="A22" s="1"/>
      <c r="B22" s="1"/>
      <c r="C22" s="1"/>
      <c r="D22" s="1"/>
      <c r="E22" s="1"/>
    </row>
    <row r="23" spans="1:5" ht="26.25">
      <c r="A23" s="1"/>
      <c r="B23" s="52" t="s">
        <v>10</v>
      </c>
      <c r="C23" s="53"/>
      <c r="D23" s="19" t="s">
        <v>11</v>
      </c>
      <c r="E23" s="1"/>
    </row>
    <row r="24" spans="1:5" ht="17.25">
      <c r="A24" s="2">
        <v>2</v>
      </c>
      <c r="B24" s="20" t="s">
        <v>12</v>
      </c>
      <c r="C24" s="13">
        <f>FV($D$19,$A24*12,$D$17*-1)</f>
        <v>5445.5254595290435</v>
      </c>
      <c r="D24" s="21" cm="1">
        <f t="array" ref="D24">C24*rendimento_carteira</f>
        <v>32.673152757174265</v>
      </c>
      <c r="E24" s="12"/>
    </row>
    <row r="25" spans="1:5" ht="17.25">
      <c r="A25" s="2">
        <v>5</v>
      </c>
      <c r="B25" s="20" t="s">
        <v>13</v>
      </c>
      <c r="C25" s="13">
        <f t="shared" ref="C25:C28" si="0">FV($D$19,$A25*12,$D$17*-1)</f>
        <v>16755.382799697527</v>
      </c>
      <c r="D25" s="21" cm="1">
        <f t="array" ref="D25">C25*rendimento_carteira</f>
        <v>100.53229679818516</v>
      </c>
      <c r="E25" s="1"/>
    </row>
    <row r="26" spans="1:5" ht="17.25">
      <c r="A26" s="2">
        <v>10</v>
      </c>
      <c r="B26" s="20" t="s">
        <v>14</v>
      </c>
      <c r="C26" s="13">
        <f t="shared" si="0"/>
        <v>48656.842506034438</v>
      </c>
      <c r="D26" s="21" cm="1">
        <f t="array" ref="D26">C26*rendimento_carteira</f>
        <v>291.94105503620665</v>
      </c>
      <c r="E26" s="1"/>
    </row>
    <row r="27" spans="1:5" ht="17.25">
      <c r="A27" s="2">
        <v>20</v>
      </c>
      <c r="B27" s="20" t="s">
        <v>15</v>
      </c>
      <c r="C27" s="13">
        <f t="shared" si="0"/>
        <v>225039.68001941612</v>
      </c>
      <c r="D27" s="21" cm="1">
        <f t="array" ref="D27">C27*rendimento_carteira</f>
        <v>1350.2380801164968</v>
      </c>
      <c r="E27" s="1"/>
    </row>
    <row r="28" spans="1:5" ht="17.25">
      <c r="A28" s="2">
        <v>30</v>
      </c>
      <c r="B28" s="18" t="s">
        <v>16</v>
      </c>
      <c r="C28" s="22">
        <f t="shared" si="0"/>
        <v>864433.93100094295</v>
      </c>
      <c r="D28" s="15" cm="1">
        <f t="array" ref="D28">C28*rendimento_carteira</f>
        <v>5186.6035860056581</v>
      </c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3" t="s">
        <v>17</v>
      </c>
      <c r="C32" s="33" t="s">
        <v>18</v>
      </c>
      <c r="D32" s="4"/>
      <c r="E32" s="1"/>
    </row>
    <row r="33" spans="1:5">
      <c r="A33" s="1"/>
      <c r="B33" s="5" t="s">
        <v>19</v>
      </c>
      <c r="C33" s="34" cm="1">
        <f t="array" ref="C33">aporte</f>
        <v>200</v>
      </c>
      <c r="D33" s="7"/>
      <c r="E33" s="1"/>
    </row>
    <row r="34" spans="1:5">
      <c r="A34" s="1"/>
      <c r="B34" s="1"/>
      <c r="C34" s="1"/>
      <c r="D34" s="1"/>
      <c r="E34" s="1"/>
    </row>
    <row r="35" spans="1:5">
      <c r="A35" s="1"/>
      <c r="B35" s="8" t="s">
        <v>20</v>
      </c>
      <c r="C35" s="8" t="s">
        <v>21</v>
      </c>
      <c r="D35" s="8" t="s">
        <v>22</v>
      </c>
      <c r="E35" s="1"/>
    </row>
    <row r="36" spans="1:5">
      <c r="A36" s="1"/>
      <c r="B36" s="9" t="s">
        <v>23</v>
      </c>
      <c r="C36" s="35">
        <f>VLOOKUP($C$32&amp;"-"&amp;B36,base!A:D,4,0)</f>
        <v>0.3</v>
      </c>
      <c r="D36" s="6">
        <f>$C$33*C36</f>
        <v>60</v>
      </c>
      <c r="E36" s="1"/>
    </row>
    <row r="37" spans="1:5">
      <c r="A37" s="1"/>
      <c r="B37" s="9" t="s">
        <v>24</v>
      </c>
      <c r="C37" s="35">
        <f>VLOOKUP($C$32&amp;"-"&amp;B37,base!A3:D21,4,0)</f>
        <v>0.5</v>
      </c>
      <c r="D37" s="6">
        <f t="shared" ref="D37:D41" si="1">$C$33*C37</f>
        <v>100</v>
      </c>
      <c r="E37" s="1"/>
    </row>
    <row r="38" spans="1:5">
      <c r="A38" s="1"/>
      <c r="B38" s="9" t="s">
        <v>25</v>
      </c>
      <c r="C38" s="35">
        <f>VLOOKUP($C$32&amp;"-"&amp;B38,base!A4:D22,4,0)</f>
        <v>0.1</v>
      </c>
      <c r="D38" s="6">
        <f t="shared" si="1"/>
        <v>20</v>
      </c>
      <c r="E38" s="1"/>
    </row>
    <row r="39" spans="1:5">
      <c r="A39" s="1"/>
      <c r="B39" s="9" t="s">
        <v>26</v>
      </c>
      <c r="C39" s="35">
        <f>VLOOKUP($C$32&amp;"-"&amp;B39,base!A5:D23,4,0)</f>
        <v>0.1</v>
      </c>
      <c r="D39" s="6">
        <f t="shared" si="1"/>
        <v>20</v>
      </c>
      <c r="E39" s="1"/>
    </row>
    <row r="40" spans="1:5">
      <c r="A40" s="1"/>
      <c r="B40" s="9" t="s">
        <v>27</v>
      </c>
      <c r="C40" s="35">
        <f>VLOOKUP($C$32&amp;"-"&amp;B40,base!A6:D24,4,0)</f>
        <v>0</v>
      </c>
      <c r="D40" s="6">
        <f t="shared" si="1"/>
        <v>0</v>
      </c>
      <c r="E40" s="1"/>
    </row>
    <row r="41" spans="1:5">
      <c r="A41" s="1"/>
      <c r="B41" s="9" t="s">
        <v>28</v>
      </c>
      <c r="C41" s="35">
        <f>VLOOKUP($C$32&amp;"-"&amp;B41,base!A7:D25,4,0)</f>
        <v>0</v>
      </c>
      <c r="D41" s="6">
        <f t="shared" si="1"/>
        <v>0</v>
      </c>
      <c r="E41" s="1"/>
    </row>
    <row r="42" spans="1:5">
      <c r="A42" s="1"/>
      <c r="B42" s="10"/>
      <c r="C42" s="10"/>
      <c r="D42" s="11">
        <f>SUM(D36:D41)</f>
        <v>200</v>
      </c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</sheetData>
  <mergeCells count="11">
    <mergeCell ref="B17:C17"/>
    <mergeCell ref="B11:D11"/>
    <mergeCell ref="B12:C12"/>
    <mergeCell ref="B13:C13"/>
    <mergeCell ref="B14:C14"/>
    <mergeCell ref="B16:D16"/>
    <mergeCell ref="B18:C18"/>
    <mergeCell ref="B19:C19"/>
    <mergeCell ref="B20:C20"/>
    <mergeCell ref="B21:C21"/>
    <mergeCell ref="B23:C23"/>
  </mergeCells>
  <dataValidations count="1">
    <dataValidation type="list" allowBlank="1" showInputMessage="1" showErrorMessage="1" sqref="C32" xr:uid="{44FCD64A-26B6-4D06-B098-EF927C209E5A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3D13-655A-452B-9A98-E6A869B15839}">
  <dimension ref="A2:H20"/>
  <sheetViews>
    <sheetView workbookViewId="0">
      <selection activeCell="D13" sqref="D13"/>
    </sheetView>
  </sheetViews>
  <sheetFormatPr defaultRowHeight="15"/>
  <cols>
    <col min="1" max="1" width="27.28515625" bestFit="1" customWidth="1"/>
    <col min="2" max="2" width="10.7109375" bestFit="1" customWidth="1"/>
    <col min="3" max="3" width="16.7109375" bestFit="1" customWidth="1"/>
    <col min="7" max="7" width="15" bestFit="1" customWidth="1"/>
  </cols>
  <sheetData>
    <row r="2" spans="1:8">
      <c r="A2" s="27" t="s">
        <v>29</v>
      </c>
      <c r="B2" s="28" t="s">
        <v>17</v>
      </c>
      <c r="C2" s="28" t="s">
        <v>20</v>
      </c>
      <c r="D2" s="29" t="s">
        <v>30</v>
      </c>
      <c r="E2" s="1"/>
      <c r="F2" s="1"/>
      <c r="G2" s="1"/>
      <c r="H2" s="1"/>
    </row>
    <row r="3" spans="1:8">
      <c r="A3" s="30" t="str">
        <f>B3&amp;"-"&amp;C3</f>
        <v>Conservador-PAPEL</v>
      </c>
      <c r="B3" s="9" t="s">
        <v>18</v>
      </c>
      <c r="C3" s="9" t="s">
        <v>23</v>
      </c>
      <c r="D3" s="31">
        <v>0.3</v>
      </c>
      <c r="E3" s="1"/>
      <c r="F3" s="1"/>
      <c r="G3" s="1"/>
      <c r="H3" s="1"/>
    </row>
    <row r="4" spans="1:8">
      <c r="A4" s="30" t="s">
        <v>31</v>
      </c>
      <c r="B4" s="9" t="s">
        <v>18</v>
      </c>
      <c r="C4" s="9" t="s">
        <v>24</v>
      </c>
      <c r="D4" s="31">
        <v>0.5</v>
      </c>
      <c r="E4" s="1"/>
      <c r="F4" s="1"/>
      <c r="G4" s="1"/>
      <c r="H4" s="9" t="s">
        <v>30</v>
      </c>
    </row>
    <row r="5" spans="1:8">
      <c r="A5" s="30" t="s">
        <v>32</v>
      </c>
      <c r="B5" s="9" t="s">
        <v>18</v>
      </c>
      <c r="C5" s="9" t="s">
        <v>25</v>
      </c>
      <c r="D5" s="31">
        <v>0.1</v>
      </c>
      <c r="E5" s="1"/>
      <c r="F5" s="1"/>
      <c r="G5" s="3" t="s">
        <v>33</v>
      </c>
      <c r="H5" s="32">
        <f>VLOOKUP(G5,A3:D20,4,0)</f>
        <v>0.35</v>
      </c>
    </row>
    <row r="6" spans="1:8">
      <c r="A6" s="30" t="s">
        <v>34</v>
      </c>
      <c r="B6" s="9" t="s">
        <v>18</v>
      </c>
      <c r="C6" s="9" t="s">
        <v>35</v>
      </c>
      <c r="D6" s="31">
        <v>0.1</v>
      </c>
      <c r="E6" s="1"/>
      <c r="F6" s="1"/>
      <c r="G6" s="1"/>
      <c r="H6" s="1"/>
    </row>
    <row r="7" spans="1:8">
      <c r="A7" s="30" t="s">
        <v>36</v>
      </c>
      <c r="B7" s="9" t="s">
        <v>18</v>
      </c>
      <c r="C7" s="9" t="s">
        <v>27</v>
      </c>
      <c r="D7" s="31">
        <v>0</v>
      </c>
      <c r="E7" s="1"/>
      <c r="F7" s="1"/>
      <c r="G7" s="1"/>
      <c r="H7" s="1"/>
    </row>
    <row r="8" spans="1:8">
      <c r="A8" s="30" t="s">
        <v>37</v>
      </c>
      <c r="B8" s="9" t="s">
        <v>18</v>
      </c>
      <c r="C8" s="9" t="s">
        <v>28</v>
      </c>
      <c r="D8" s="31">
        <v>0</v>
      </c>
      <c r="E8" s="1"/>
      <c r="F8" s="1"/>
      <c r="G8" s="1"/>
      <c r="H8" s="1"/>
    </row>
    <row r="9" spans="1:8">
      <c r="A9" s="36" t="str">
        <f>B9&amp;"-"&amp;C9</f>
        <v>Moderado-PAPEL</v>
      </c>
      <c r="B9" s="37" t="s">
        <v>38</v>
      </c>
      <c r="C9" s="37" t="s">
        <v>23</v>
      </c>
      <c r="D9" s="38">
        <v>0.32</v>
      </c>
      <c r="E9" s="1"/>
      <c r="F9" s="1"/>
      <c r="G9" s="1"/>
      <c r="H9" s="1"/>
    </row>
    <row r="10" spans="1:8">
      <c r="A10" s="39" t="str">
        <f t="shared" ref="A10:A20" si="0">B10&amp;"-"&amp;C10</f>
        <v>Moderado-TIJOLO</v>
      </c>
      <c r="B10" s="9" t="s">
        <v>38</v>
      </c>
      <c r="C10" s="9" t="s">
        <v>24</v>
      </c>
      <c r="D10" s="40">
        <v>0.35</v>
      </c>
      <c r="E10" s="1"/>
      <c r="F10" s="1"/>
      <c r="G10" s="1"/>
      <c r="H10" s="1"/>
    </row>
    <row r="11" spans="1:8">
      <c r="A11" s="39" t="str">
        <f t="shared" si="0"/>
        <v>Moderado-HÍBRIDOS</v>
      </c>
      <c r="B11" s="9" t="s">
        <v>38</v>
      </c>
      <c r="C11" s="9" t="s">
        <v>25</v>
      </c>
      <c r="D11" s="40">
        <v>0.08</v>
      </c>
      <c r="E11" s="1"/>
      <c r="F11" s="1"/>
      <c r="G11" s="1"/>
      <c r="H11" s="1"/>
    </row>
    <row r="12" spans="1:8">
      <c r="A12" s="39" t="str">
        <f t="shared" si="0"/>
        <v>Moderado-FOFs</v>
      </c>
      <c r="B12" s="9" t="s">
        <v>38</v>
      </c>
      <c r="C12" s="9" t="s">
        <v>35</v>
      </c>
      <c r="D12" s="40">
        <v>0.05</v>
      </c>
      <c r="E12" s="1"/>
      <c r="F12" s="1"/>
      <c r="G12" s="1"/>
      <c r="H12" s="1"/>
    </row>
    <row r="13" spans="1:8">
      <c r="A13" s="39" t="str">
        <f t="shared" si="0"/>
        <v>Moderado-DESENVOLVIMENTO</v>
      </c>
      <c r="B13" s="9" t="s">
        <v>38</v>
      </c>
      <c r="C13" s="9" t="s">
        <v>27</v>
      </c>
      <c r="D13" s="40">
        <v>0.1</v>
      </c>
      <c r="E13" s="1"/>
      <c r="F13" s="1"/>
      <c r="G13" s="1"/>
      <c r="H13" s="1"/>
    </row>
    <row r="14" spans="1:8">
      <c r="A14" s="39" t="str">
        <f t="shared" si="0"/>
        <v>Moderado-HOTELARIAS</v>
      </c>
      <c r="B14" s="9" t="s">
        <v>38</v>
      </c>
      <c r="C14" s="9" t="s">
        <v>28</v>
      </c>
      <c r="D14" s="40">
        <v>0.1</v>
      </c>
      <c r="E14" s="1"/>
      <c r="F14" s="1"/>
      <c r="G14" s="1"/>
      <c r="H14" s="1"/>
    </row>
    <row r="15" spans="1:8">
      <c r="A15" s="36" t="str">
        <f t="shared" si="0"/>
        <v>Agressivo-PAPEL</v>
      </c>
      <c r="B15" s="37" t="s">
        <v>39</v>
      </c>
      <c r="C15" s="37" t="s">
        <v>23</v>
      </c>
      <c r="D15" s="38">
        <v>0.5</v>
      </c>
      <c r="E15" s="1"/>
      <c r="F15" s="1"/>
      <c r="G15" s="1"/>
      <c r="H15" s="1"/>
    </row>
    <row r="16" spans="1:8">
      <c r="A16" s="39" t="str">
        <f t="shared" si="0"/>
        <v>Agressivo-TIJOLO</v>
      </c>
      <c r="B16" s="9" t="s">
        <v>39</v>
      </c>
      <c r="C16" s="9" t="s">
        <v>24</v>
      </c>
      <c r="D16" s="40">
        <v>0.1</v>
      </c>
      <c r="E16" s="1"/>
      <c r="F16" s="1"/>
      <c r="G16" s="1"/>
      <c r="H16" s="1"/>
    </row>
    <row r="17" spans="1:8">
      <c r="A17" s="39" t="str">
        <f t="shared" si="0"/>
        <v>Agressivo-HÍBRIDOS</v>
      </c>
      <c r="B17" s="9" t="s">
        <v>39</v>
      </c>
      <c r="C17" s="9" t="s">
        <v>25</v>
      </c>
      <c r="D17" s="40">
        <v>0.05</v>
      </c>
      <c r="E17" s="1"/>
      <c r="F17" s="1"/>
      <c r="G17" s="1"/>
      <c r="H17" s="1"/>
    </row>
    <row r="18" spans="1:8">
      <c r="A18" s="39" t="str">
        <f t="shared" si="0"/>
        <v>Agressivo-FOFs</v>
      </c>
      <c r="B18" s="9" t="s">
        <v>39</v>
      </c>
      <c r="C18" s="9" t="s">
        <v>35</v>
      </c>
      <c r="D18" s="40">
        <v>0.05</v>
      </c>
      <c r="E18" s="1"/>
      <c r="F18" s="1"/>
      <c r="G18" s="1"/>
      <c r="H18" s="1"/>
    </row>
    <row r="19" spans="1:8">
      <c r="A19" s="39" t="str">
        <f t="shared" si="0"/>
        <v>Agressivo-DESENVOLVIMENTO</v>
      </c>
      <c r="B19" s="9" t="s">
        <v>39</v>
      </c>
      <c r="C19" s="9" t="s">
        <v>27</v>
      </c>
      <c r="D19" s="40">
        <v>0.2</v>
      </c>
      <c r="E19" s="1"/>
      <c r="F19" s="1"/>
      <c r="G19" s="1"/>
      <c r="H19" s="1"/>
    </row>
    <row r="20" spans="1:8">
      <c r="A20" s="41" t="str">
        <f t="shared" si="0"/>
        <v>Agressivo-HOTELARIAS</v>
      </c>
      <c r="B20" s="42" t="s">
        <v>39</v>
      </c>
      <c r="C20" s="42" t="s">
        <v>28</v>
      </c>
      <c r="D20" s="43">
        <v>0.1</v>
      </c>
      <c r="E20" s="1"/>
      <c r="F20" s="1"/>
      <c r="G20" s="1"/>
      <c r="H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2026-02-15T22:36:42Z</dcterms:created>
  <dcterms:modified xsi:type="dcterms:W3CDTF">2026-02-16T01:05:16Z</dcterms:modified>
  <cp:category/>
  <cp:contentStatus/>
</cp:coreProperties>
</file>